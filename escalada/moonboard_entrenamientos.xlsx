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8c00e532a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iones MoonBoard" sheetId="1" r:id="R539f280df7354f30"/>
    <x:sheet xmlns:r="http://schemas.openxmlformats.org/officeDocument/2006/relationships" name="Cuerda y sensor" sheetId="2" r:id="R0a7f6f0e316c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dd/mm/yyyy"/>
    <x:numFmt numFmtId="202" formatCode="#,##0"/>
    <x:numFmt numFmtId="203" formatCode="0.00"/>
    <x:numFmt numFmtId="204" formatCode="0"/>
  </x:numFmts>
  <x:fonts count="14">
    <x:font>
      <x:sz val="11"/>
      <x:name val="Carlito"/>
    </x:font>
    <x:font>
      <x:b/>
      <x:sz val="16"/>
      <x:color rgb="FF17324D"/>
      <x:name val="Arial"/>
    </x:font>
    <x:font>
      <x:i/>
      <x:sz val="10"/>
      <x:color rgb="FF5B6573"/>
      <x:name val="Arial"/>
    </x:font>
    <x:font>
      <x:b/>
      <x:sz val="10"/>
      <x:color rgb="FF35506B"/>
      <x:name val="Arial"/>
    </x:font>
    <x:font>
      <x:b/>
      <x:sz val="14"/>
      <x:color rgb="FF17324D"/>
      <x:name val="Arial"/>
    </x:font>
    <x:font>
      <x:i/>
      <x:sz val="9"/>
      <x:color rgb="FF6B728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1"/>
      <x:name val="Arial"/>
    </x:font>
    <x:font>
      <x:sz val="11"/>
      <x:color rgb="FF243746"/>
      <x:name val="Arial"/>
    </x:font>
    <x:font>
      <x:b/>
      <x:sz val="16"/>
      <x:color rgb="FF243746"/>
      <x:name val="Arial"/>
    </x:font>
    <x:font>
      <x:b/>
      <x:sz val="11"/>
      <x:color rgb="FFFFFFFF"/>
      <x:name val="Arial"/>
    </x:font>
    <x:font>
      <x:i/>
      <x:sz val="10"/>
      <x:color rgb="FF566B7B"/>
      <x:name val="Arial"/>
    </x:font>
    <x:font>
      <x:b/>
      <x:sz val="14"/>
      <x:color rgb="FF2437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DF3F8"/>
      </x:patternFill>
    </x:fill>
  </x:fills>
  <x:borders count="5">
    <x:border/>
    <x:border>
      <x:bottom style="thin">
        <x:color rgb="FF9FB3C8"/>
      </x:bottom>
    </x:border>
    <x:border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top style="thin">
        <x:color rgb="FFD8E1EA"/>
      </x:top>
      <x:bottom style="thin">
        <x:color rgb="FF9FB3C8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0" fillId="2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203" fontId="7" fillId="0" borderId="0" xfId="0" applyNumberFormat="1" applyFont="1" applyFill="1" applyBorder="1" applyAlignment="1">
      <x:alignment horizontal="right"/>
    </x:xf>
    <x:xf numFmtId="204" fontId="7" fillId="0" borderId="0" xfId="0" applyNumberFormat="1" applyFont="1" applyFill="1" applyBorder="1" applyAlignment="1">
      <x:alignment horizontal="right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4" fontId="7" fillId="0" borderId="0" xfId="0" applyNumberFormat="1" applyFont="1" applyFill="1" applyBorder="1" applyAlignment="1">
      <x:alignment horizontal="right" vertical="center"/>
    </x:xf>
    <x:xf numFmtId="0" fontId="6" fillId="3" borderId="2" xfId="0" applyNumberFormat="1" applyFont="1" applyFill="1" applyBorder="1" applyAlignment="1">
      <x:alignment horizontal="center" vertical="center"/>
    </x:xf>
    <x:xf numFmtId="201" fontId="7" fillId="0" borderId="3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horizontal="right" vertical="center"/>
    </x:xf>
    <x:xf numFmtId="200" fontId="7" fillId="0" borderId="3" xfId="0" applyNumberFormat="1" applyFont="1" applyFill="1" applyBorder="1" applyAlignment="1">
      <x:alignment horizontal="right" vertical="center"/>
    </x:xf>
    <x:xf numFmtId="203" fontId="7" fillId="0" borderId="3" xfId="0" applyNumberFormat="1" applyFont="1" applyFill="1" applyBorder="1" applyAlignment="1">
      <x:alignment horizontal="right" vertical="center"/>
    </x:xf>
    <x:xf numFmtId="204" fontId="7" fillId="0" borderId="3" xfId="0" applyNumberFormat="1" applyFont="1" applyFill="1" applyBorder="1" applyAlignment="1">
      <x:alignment horizontal="right" vertical="center"/>
    </x:xf>
    <x:xf numFmtId="201" fontId="7" fillId="0" borderId="4" xfId="0" applyNumberFormat="1" applyFont="1" applyFill="1" applyBorder="1" applyAlignment="1">
      <x:alignment vertical="center"/>
    </x:xf>
    <x:xf numFmtId="202" fontId="7" fillId="0" borderId="4" xfId="0" applyNumberFormat="1" applyFont="1" applyFill="1" applyBorder="1" applyAlignment="1">
      <x:alignment horizontal="right" vertical="center"/>
    </x:xf>
    <x:xf numFmtId="200" fontId="7" fillId="0" borderId="4" xfId="0" applyNumberFormat="1" applyFont="1" applyFill="1" applyBorder="1" applyAlignment="1">
      <x:alignment horizontal="right" vertical="center"/>
    </x:xf>
    <x:xf numFmtId="203" fontId="7" fillId="0" borderId="4" xfId="0" applyNumberFormat="1" applyFont="1" applyFill="1" applyBorder="1" applyAlignment="1">
      <x:alignment horizontal="right" vertical="center"/>
    </x:xf>
    <x:xf numFmtId="204" fontId="7" fillId="0" borderId="4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horizontal="center" vertical="center"/>
    </x:xf>
    <x:xf numFmtId="201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center" vertical="center"/>
    </x:xf>
    <x:xf numFmtId="204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1" fontId="9" fillId="5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vertical="center"/>
    </x:xf>
    <x:xf numFmtId="204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1b7737bdf4f24" /><Relationship Type="http://schemas.openxmlformats.org/officeDocument/2006/relationships/theme" Target="/xl/theme/theme1.xml" Id="Rbd5bbac0df9d4d8e" /><Relationship Type="http://schemas.openxmlformats.org/officeDocument/2006/relationships/sharedStrings" Target="/xl/sharedStrings.xml" Id="Rc746ee92a8014816" /><Relationship Type="http://schemas.openxmlformats.org/officeDocument/2006/relationships/worksheet" Target="/xl/worksheets/sheet1.xml" Id="R539f280df7354f30" /><Relationship Type="http://schemas.openxmlformats.org/officeDocument/2006/relationships/worksheet" Target="/xl/worksheets/sheet2.xml" Id="R0a7f6f0e316c4656" /></Relationships>
</file>

<file path=xl/tables/table1.xml><?xml version="1.0" encoding="utf-8"?>
<x:table xmlns:x="http://schemas.openxmlformats.org/spreadsheetml/2006/main" id="1" name="MoonBoardSessions" displayName="MoonBoardSessions" ref="A11:H20" headerRowCount="1" totalsRowCount="0" totalsRowShown="0">
  <x:autoFilter ref="A11:H20"/>
  <x:tableColumns count="8">
    <x:tableColumn id="1" name="Fecha"/>
    <x:tableColumn id="2" name="Problemas"/>
    <x:tableColumn id="3" name="Completados"/>
    <x:tableColumn id="4" name="No completados"/>
    <x:tableColumn id="5" name="Intentos"/>
    <x:tableColumn id="6" name="Tasa de completar"/>
    <x:tableColumn id="7" name="Intentos por problema"/>
    <x:tableColumn id="8" name="Días desde la sesión anteri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b3b0de441e425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21" hidden="0" customWidth="1"/>
    <x:col min="8" max="8" width="27" hidden="0" customWidth="1"/>
  </x:cols>
  <x:sheetData>
    <x:row r="1">
      <x:c r="A1" s="40"/>
      <x:c r="B1" s="40"/>
      <x:c r="C1" s="40"/>
      <x:c r="D1" s="40"/>
      <x:c r="E1" s="40"/>
      <x:c r="F1" s="40"/>
      <x:c r="G1" s="40"/>
      <x:c r="H1" s="40"/>
    </x:row>
    <x:row r="2">
      <x:c r="A2" s="1" t="str">
        <x:v>Registro de entrenamiento MoonBoard</x:v>
      </x:c>
    </x:row>
    <x:row r="3">
      <x:c r="A3" s="3" t="str">
        <x:v>Sesiones registradas entre el 17 de agosto y el 17 de septiembre de 2026</x:v>
      </x:c>
      <x:c r="B3" s="4"/>
      <x:c r="C3" s="4"/>
      <x:c r="D3" s="4"/>
      <x:c r="E3" s="4"/>
      <x:c r="F3" s="4"/>
      <x:c r="G3" s="4"/>
      <x:c r="H3" s="4"/>
    </x:row>
    <x:row r="5">
      <x:c r="A5" s="6" t="str">
        <x:v>Sesiones</x:v>
      </x:c>
      <x:c r="B5" s="6"/>
      <x:c r="C5" s="6" t="str">
        <x:v>Problemas</x:v>
      </x:c>
      <x:c r="D5" s="6"/>
      <x:c r="E5" s="6" t="str">
        <x:v>Completados</x:v>
      </x:c>
      <x:c r="F5" s="6"/>
      <x:c r="G5" s="6" t="str">
        <x:v>Tasa de completar</x:v>
      </x:c>
      <x:c r="H5" s="6"/>
    </x:row>
    <x:row r="6">
      <x:c r="A6" s="7" t="n">
        <x:f>COUNTA(A12:A20)</x:f>
        <x:v>9</x:v>
      </x:c>
      <x:c r="B6" s="5"/>
      <x:c r="C6" s="5" t="n">
        <x:f>SUM(B12:B20)</x:f>
        <x:v>141</x:v>
      </x:c>
      <x:c r="D6" s="5"/>
      <x:c r="E6" s="5" t="n">
        <x:f>SUM(C12:C20)</x:f>
        <x:v>108</x:v>
      </x:c>
      <x:c r="F6" s="5"/>
      <x:c r="G6" s="8" t="n">
        <x:f>SUM(C12:C20)/SUM(B12:B20)</x:f>
        <x:v>0.7659574468085106</x:v>
      </x:c>
      <x:c r="H6" s="5"/>
    </x:row>
    <x:row r="8">
      <x:c r="A8" s="9" t="str">
        <x:v>Fuente: registro Logbook de la app MoonBoard en Android, consultado el 17/09/2026.</x:v>
      </x:c>
    </x:row>
    <x:row r="11" ht="30" customHeight="1">
      <x:c r="A11" s="29" t="str">
        <x:v>Fecha</x:v>
      </x:c>
      <x:c r="B11" s="29" t="str">
        <x:v>Problemas</x:v>
      </x:c>
      <x:c r="C11" s="29" t="str">
        <x:v>Completados</x:v>
      </x:c>
      <x:c r="D11" s="29" t="str">
        <x:v>No completados</x:v>
      </x:c>
      <x:c r="E11" s="29" t="str">
        <x:v>Intentos</x:v>
      </x:c>
      <x:c r="F11" s="29" t="str">
        <x:v>Tasa de completar</x:v>
      </x:c>
      <x:c r="G11" s="29" t="str">
        <x:v>Intentos por problema</x:v>
      </x:c>
      <x:c r="H11" s="29" t="str">
        <x:v>Días desde la sesión anterior</x:v>
      </x:c>
    </x:row>
    <x:row r="12" ht="23" customHeight="1">
      <x:c r="A12" s="30" t="n">
        <x:v>46282</x:v>
      </x:c>
      <x:c r="B12" s="31" t="n">
        <x:v>20</x:v>
      </x:c>
      <x:c r="C12" s="31" t="n">
        <x:v>14</x:v>
      </x:c>
      <x:c r="D12" s="31" t="n">
        <x:f>B12-C12</x:f>
        <x:v>6</x:v>
      </x:c>
      <x:c r="E12" s="31" t="n">
        <x:v>25</x:v>
      </x:c>
      <x:c r="F12" s="32" t="n">
        <x:f>C12/B12</x:f>
        <x:v>0.7</x:v>
      </x:c>
      <x:c r="G12" s="33" t="n">
        <x:f>E12/B12</x:f>
        <x:v>1.25</x:v>
      </x:c>
      <x:c r="H12" s="34" t="n">
        <x:f>A12-A13</x:f>
        <x:v>2</x:v>
      </x:c>
    </x:row>
    <x:row r="13" ht="23" customHeight="1">
      <x:c r="A13" s="30" t="n">
        <x:v>46280</x:v>
      </x:c>
      <x:c r="B13" s="31" t="n">
        <x:v>16</x:v>
      </x:c>
      <x:c r="C13" s="31" t="n">
        <x:v>11</x:v>
      </x:c>
      <x:c r="D13" s="31" t="n">
        <x:f>B13-C13</x:f>
        <x:v>5</x:v>
      </x:c>
      <x:c r="E13" s="31" t="n">
        <x:v>25</x:v>
      </x:c>
      <x:c r="F13" s="32" t="n">
        <x:f>C13/B13</x:f>
        <x:v>0.6875</x:v>
      </x:c>
      <x:c r="G13" s="33" t="n">
        <x:f>E13/B13</x:f>
        <x:v>1.5625</x:v>
      </x:c>
      <x:c r="H13" s="34" t="n">
        <x:f>A13-A14</x:f>
        <x:v>5</x:v>
      </x:c>
    </x:row>
    <x:row r="14" ht="23" customHeight="1">
      <x:c r="A14" s="30" t="n">
        <x:v>46275</x:v>
      </x:c>
      <x:c r="B14" s="31" t="n">
        <x:v>13</x:v>
      </x:c>
      <x:c r="C14" s="31" t="n">
        <x:v>8</x:v>
      </x:c>
      <x:c r="D14" s="31" t="n">
        <x:f>B14-C14</x:f>
        <x:v>5</x:v>
      </x:c>
      <x:c r="E14" s="31" t="n">
        <x:v>20</x:v>
      </x:c>
      <x:c r="F14" s="32" t="n">
        <x:f>C14/B14</x:f>
        <x:v>0.6153846153846154</x:v>
      </x:c>
      <x:c r="G14" s="33" t="n">
        <x:f>E14/B14</x:f>
        <x:v>1.5384615384615385</x:v>
      </x:c>
      <x:c r="H14" s="34" t="n">
        <x:f>A14-A15</x:f>
        <x:v>7</x:v>
      </x:c>
    </x:row>
    <x:row r="15" ht="23" customHeight="1">
      <x:c r="A15" s="30" t="n">
        <x:v>46268</x:v>
      </x:c>
      <x:c r="B15" s="31" t="n">
        <x:v>17</x:v>
      </x:c>
      <x:c r="C15" s="31" t="n">
        <x:v>15</x:v>
      </x:c>
      <x:c r="D15" s="31" t="n">
        <x:f>B15-C15</x:f>
        <x:v>2</x:v>
      </x:c>
      <x:c r="E15" s="31" t="n">
        <x:v>23</x:v>
      </x:c>
      <x:c r="F15" s="32" t="n">
        <x:f>C15/B15</x:f>
        <x:v>0.8823529411764706</x:v>
      </x:c>
      <x:c r="G15" s="33" t="n">
        <x:f>E15/B15</x:f>
        <x:v>1.3529411764705883</x:v>
      </x:c>
      <x:c r="H15" s="34" t="n">
        <x:f>A15-A16</x:f>
        <x:v>2</x:v>
      </x:c>
    </x:row>
    <x:row r="16" ht="23" customHeight="1">
      <x:c r="A16" s="30" t="n">
        <x:v>46266</x:v>
      </x:c>
      <x:c r="B16" s="31" t="n">
        <x:v>15</x:v>
      </x:c>
      <x:c r="C16" s="31" t="n">
        <x:v>11</x:v>
      </x:c>
      <x:c r="D16" s="31" t="n">
        <x:f>B16-C16</x:f>
        <x:v>4</x:v>
      </x:c>
      <x:c r="E16" s="31" t="n">
        <x:v>21</x:v>
      </x:c>
      <x:c r="F16" s="32" t="n">
        <x:f>C16/B16</x:f>
        <x:v>0.7333333333333333</x:v>
      </x:c>
      <x:c r="G16" s="33" t="n">
        <x:f>E16/B16</x:f>
        <x:v>1.4</x:v>
      </x:c>
      <x:c r="H16" s="34" t="n">
        <x:f>A16-A17</x:f>
        <x:v>5</x:v>
      </x:c>
    </x:row>
    <x:row r="17" ht="23" customHeight="1">
      <x:c r="A17" s="30" t="n">
        <x:v>46261</x:v>
      </x:c>
      <x:c r="B17" s="31" t="n">
        <x:v>18</x:v>
      </x:c>
      <x:c r="C17" s="31" t="n">
        <x:v>16</x:v>
      </x:c>
      <x:c r="D17" s="31" t="n">
        <x:f>B17-C17</x:f>
        <x:v>2</x:v>
      </x:c>
      <x:c r="E17" s="31" t="n">
        <x:v>22</x:v>
      </x:c>
      <x:c r="F17" s="32" t="n">
        <x:f>C17/B17</x:f>
        <x:v>0.8888888888888888</x:v>
      </x:c>
      <x:c r="G17" s="33" t="n">
        <x:f>E17/B17</x:f>
        <x:v>1.2222222222222223</x:v>
      </x:c>
      <x:c r="H17" s="34" t="n">
        <x:f>A17-A18</x:f>
        <x:v>5</x:v>
      </x:c>
    </x:row>
    <x:row r="18" ht="23" customHeight="1">
      <x:c r="A18" s="30" t="n">
        <x:v>46256</x:v>
      </x:c>
      <x:c r="B18" s="31" t="n">
        <x:v>11</x:v>
      </x:c>
      <x:c r="C18" s="31" t="n">
        <x:v>6</x:v>
      </x:c>
      <x:c r="D18" s="31" t="n">
        <x:f>B18-C18</x:f>
        <x:v>5</x:v>
      </x:c>
      <x:c r="E18" s="31" t="n">
        <x:v>20</x:v>
      </x:c>
      <x:c r="F18" s="32" t="n">
        <x:f>C18/B18</x:f>
        <x:v>0.5454545454545454</x:v>
      </x:c>
      <x:c r="G18" s="33" t="n">
        <x:f>E18/B18</x:f>
        <x:v>1.8181818181818181</x:v>
      </x:c>
      <x:c r="H18" s="34" t="n">
        <x:f>A18-A19</x:f>
        <x:v>2</x:v>
      </x:c>
    </x:row>
    <x:row r="19" ht="23" customHeight="1">
      <x:c r="A19" s="30" t="n">
        <x:v>46254</x:v>
      </x:c>
      <x:c r="B19" s="31" t="n">
        <x:v>17</x:v>
      </x:c>
      <x:c r="C19" s="31" t="n">
        <x:v>13</x:v>
      </x:c>
      <x:c r="D19" s="31" t="n">
        <x:f>B19-C19</x:f>
        <x:v>4</x:v>
      </x:c>
      <x:c r="E19" s="31" t="n">
        <x:v>20</x:v>
      </x:c>
      <x:c r="F19" s="32" t="n">
        <x:f>C19/B19</x:f>
        <x:v>0.7647058823529411</x:v>
      </x:c>
      <x:c r="G19" s="33" t="n">
        <x:f>E19/B19</x:f>
        <x:v>1.1764705882352942</x:v>
      </x:c>
      <x:c r="H19" s="34" t="n">
        <x:f>A19-A20</x:f>
        <x:v>3</x:v>
      </x:c>
    </x:row>
    <x:row r="20" ht="23" customHeight="1">
      <x:c r="A20" s="35" t="n">
        <x:v>46251</x:v>
      </x:c>
      <x:c r="B20" s="36" t="n">
        <x:v>14</x:v>
      </x:c>
      <x:c r="C20" s="36" t="n">
        <x:v>14</x:v>
      </x:c>
      <x:c r="D20" s="36" t="n">
        <x:f>B20-C20</x:f>
        <x:v>0</x:v>
      </x:c>
      <x:c r="E20" s="36" t="n">
        <x:v>15</x:v>
      </x:c>
      <x:c r="F20" s="37" t="n">
        <x:f>C20/B20</x:f>
        <x:v>1</x:v>
      </x:c>
      <x:c r="G20" s="38" t="n">
        <x:f>E20/B20</x:f>
        <x:v>1.0714285714285714</x:v>
      </x:c>
      <x:c r="H20" s="39"/>
    </x:row>
  </x:sheetData>
  <x:conditionalFormatting sqref="F12:F20">
    <x:cfRule type="colorScale" priority="1">
      <x:colorScale>
        <x:cfvo type="min"/>
        <x:cfvo type="percentile" val="50"/>
        <x:cfvo type="max"/>
        <x:color rgb="FFFDE2E2"/>
        <x:color rgb="FFFFF4CC"/>
        <x:color rgb="FFDDF3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0b3b0de441e4259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9" hidden="0" customWidth="1"/>
    <x:col min="4" max="4" width="10" hidden="0" customWidth="1"/>
    <x:col min="5" max="5" width="23" hidden="0" customWidth="1"/>
    <x:col min="6" max="6" width="13" hidden="0" customWidth="1"/>
    <x:col min="7" max="7" width="59" hidden="0" customWidth="1"/>
  </x:cols>
  <x:sheetData>
    <x:row r="1">
      <x:c r="A1" s="42"/>
      <x:c r="B1" s="42"/>
      <x:c r="C1" s="42"/>
      <x:c r="D1" s="42"/>
      <x:c r="E1" s="42"/>
      <x:c r="F1" s="42"/>
      <x:c r="G1" s="42"/>
    </x:row>
    <x:row r="2">
      <x:c r="A2" s="43" t="str">
        <x:v>Ascensiones de cuerda</x:v>
      </x:c>
      <x:c r="B2" s="42"/>
      <x:c r="C2" s="42"/>
      <x:c r="D2" s="42"/>
      <x:c r="E2" s="42"/>
      <x:c r="F2" s="42"/>
      <x:c r="G2" s="42"/>
    </x:row>
    <x:row r="3">
      <x:c r="A3" s="42"/>
      <x:c r="B3" s="42"/>
      <x:c r="C3" s="42"/>
      <x:c r="D3" s="42"/>
      <x:c r="E3" s="42"/>
      <x:c r="F3" s="42"/>
      <x:c r="G3" s="42"/>
    </x:row>
    <x:row r="4" ht="27" customHeight="1">
      <x:c r="A4" s="46" t="str">
        <x:v>Fecha</x:v>
      </x:c>
      <x:c r="B4" s="46" t="str">
        <x:v>Vía</x:v>
      </x:c>
      <x:c r="C4" s="46" t="str">
        <x:v>Zona</x:v>
      </x:c>
      <x:c r="D4" s="46" t="str">
        <x:v>Grado</x:v>
      </x:c>
      <x:c r="E4" s="46" t="str">
        <x:v>Estilo</x:v>
      </x:c>
      <x:c r="F4" s="46" t="str">
        <x:v>Intentos</x:v>
      </x:c>
      <x:c r="G4" s="46" t="str">
        <x:v>Observaciones</x:v>
      </x:c>
    </x:row>
    <x:row r="5" ht="53" customHeight="1">
      <x:c r="A5" s="48" t="d">
        <x:v>2026-10-14T12:00:00.000Z</x:v>
      </x:c>
      <x:c r="B5" s="42" t="str">
        <x:v>Námaste</x:v>
      </x:c>
      <x:c r="C5" s="42" t="str">
        <x:v>Archidona</x:v>
      </x:c>
      <x:c r="D5" s="42" t="str">
        <x:v>7c</x:v>
      </x:c>
      <x:c r="E5" s="42" t="str">
        <x:v>Redpoint</x:v>
      </x:c>
      <x:c r="F5" s="49"/>
      <x:c r="G5" s="50" t="str">
        <x:v>Proyecto pendiente encadenado. Salida recta exigente; el límite fue la salida, más que el dinámico.</x:v>
      </x:c>
    </x:row>
    <x:row r="6" ht="53" customHeight="1">
      <x:c r="A6" s="51" t="d">
        <x:v>2026-09-23T12:00:00.000Z</x:v>
      </x:c>
      <x:c r="B6" s="52" t="str">
        <x:v>Moya Boom</x:v>
      </x:c>
      <x:c r="C6" s="52" t="str">
        <x:v>Mijas</x:v>
      </x:c>
      <x:c r="D6" s="52" t="str">
        <x:v>7b+</x:v>
      </x:c>
      <x:c r="E6" s="52" t="str">
        <x:v>Segundo intento</x:v>
      </x:c>
      <x:c r="F6" s="53" t="n">
        <x:v>2</x:v>
      </x:c>
      <x:c r="G6" s="54" t="str">
        <x:v>Fecha del registro de 8a.nu. El usuario la recordó aproximadamente como hace dos semanas.</x:v>
      </x:c>
    </x:row>
    <x:row r="7">
      <x:c r="A7" s="42"/>
      <x:c r="B7" s="42"/>
      <x:c r="C7" s="42"/>
      <x:c r="D7" s="42"/>
      <x:c r="E7" s="42"/>
      <x:c r="F7" s="42"/>
      <x:c r="G7" s="42"/>
    </x:row>
    <x:row r="8">
      <x:c r="A8" s="55" t="str">
        <x:v>Fuente: 8a.nu. Perfil consultado el 15/10/2026. Intentos de Námaste no registrados.</x:v>
      </x:c>
      <x:c r="B8" s="55"/>
      <x:c r="C8" s="55"/>
      <x:c r="D8" s="55"/>
      <x:c r="E8" s="55"/>
      <x:c r="F8" s="55"/>
      <x:c r="G8" s="55"/>
    </x:row>
    <x:row r="9">
      <x:c r="A9" s="55" t="str">
        <x:v>https://www.8a.nu/user/juanfran-jimenez/sportclimbing</x:v>
      </x:c>
      <x:c r="B9" s="55"/>
      <x:c r="C9" s="55"/>
      <x:c r="D9" s="55"/>
      <x:c r="E9" s="55"/>
      <x:c r="F9" s="55"/>
      <x:c r="G9" s="55"/>
    </x:row>
    <x:row r="10">
      <x:c r="A10" s="42"/>
      <x:c r="B10" s="42"/>
      <x:c r="C10" s="42"/>
      <x:c r="D10" s="42"/>
      <x:c r="E10" s="42"/>
      <x:c r="F10" s="42"/>
      <x:c r="G10" s="42"/>
    </x:row>
    <x:row r="11">
      <x:c r="A11" s="42"/>
      <x:c r="B11" s="42"/>
      <x:c r="C11" s="42"/>
      <x:c r="D11" s="42"/>
      <x:c r="E11" s="42"/>
      <x:c r="F11" s="42"/>
      <x:c r="G11" s="42"/>
    </x:row>
    <x:row r="12">
      <x:c r="A12" s="56" t="str">
        <x:v>Test de fuerza con sensor</x:v>
      </x:c>
      <x:c r="B12" s="42"/>
      <x:c r="C12" s="42"/>
      <x:c r="D12" s="42"/>
      <x:c r="E12" s="42"/>
      <x:c r="F12" s="42"/>
      <x:c r="G12" s="42"/>
    </x:row>
    <x:row r="13">
      <x:c r="A13" s="42"/>
      <x:c r="B13" s="42"/>
      <x:c r="C13" s="42"/>
      <x:c r="D13" s="42"/>
      <x:c r="E13" s="42"/>
      <x:c r="F13" s="42"/>
      <x:c r="G13" s="42"/>
    </x:row>
    <x:row r="14" ht="27" customHeight="1">
      <x:c r="A14" s="46" t="str">
        <x:v>Actualizado</x:v>
      </x:c>
      <x:c r="B14" s="46" t="str">
        <x:v>Estado</x:v>
      </x:c>
      <x:c r="C14" s="46" t="str">
        <x:v>Resultado</x:v>
      </x:c>
      <x:c r="D14" s="42"/>
      <x:c r="E14" s="42"/>
      <x:c r="F14" s="42"/>
      <x:c r="G14" s="42"/>
    </x:row>
    <x:row r="15" ht="25" customHeight="1">
      <x:c r="A15" s="48" t="d">
        <x:v>2026-10-15T12:00:00.000Z</x:v>
      </x:c>
      <x:c r="B15" s="42" t="str">
        <x:v>Pendiente</x:v>
      </x:c>
      <x:c r="C15" s="42" t="str">
        <x:v>Sin medición</x:v>
      </x:c>
      <x:c r="D15" s="42"/>
      <x:c r="E15" s="42"/>
      <x:c r="F15" s="42"/>
      <x:c r="G15" s="42"/>
    </x:row>
    <x:row r="16">
      <x:c r="A16" s="42"/>
      <x:c r="B16" s="42"/>
      <x:c r="C16" s="42"/>
      <x:c r="D16" s="42"/>
      <x:c r="E16" s="42"/>
      <x:c r="F16" s="42"/>
      <x:c r="G16" s="42"/>
    </x:row>
    <x:row r="17">
      <x:c r="A17" s="55" t="str">
        <x:v>Fuente: confirmación del usuario el 15/10/2026.</x:v>
      </x:c>
      <x:c r="B17" s="42"/>
      <x:c r="C17" s="42"/>
      <x:c r="D17" s="42"/>
      <x:c r="E17" s="42"/>
      <x:c r="F17" s="42"/>
      <x:c r="G17" s="42"/>
    </x:row>
  </x:sheetData>
  <x:pageMargins left="0.7" right="0.7" top="0.75" bottom="0.75" header="0.3" footer="0.3"/>
</x:worksheet>
</file>